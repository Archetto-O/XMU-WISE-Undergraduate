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MU\做 运筹\"/>
    </mc:Choice>
  </mc:AlternateContent>
  <bookViews>
    <workbookView xWindow="0" yWindow="0" windowWidth="17600" windowHeight="76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2" l="1"/>
  <c r="M19" i="2"/>
  <c r="M20" i="2"/>
  <c r="M21" i="2"/>
  <c r="M22" i="2"/>
  <c r="M17" i="2"/>
  <c r="V16" i="1" l="1"/>
  <c r="V15" i="1"/>
  <c r="V14" i="1"/>
  <c r="G28" i="1"/>
  <c r="H28" i="1" s="1"/>
  <c r="G27" i="1"/>
  <c r="H27" i="1" s="1"/>
  <c r="G26" i="1"/>
  <c r="H26" i="1" s="1"/>
  <c r="H23" i="1"/>
  <c r="H22" i="1"/>
  <c r="G23" i="1"/>
  <c r="G22" i="1"/>
  <c r="G21" i="1"/>
  <c r="H21" i="1" s="1"/>
  <c r="G17" i="1"/>
  <c r="H17" i="1" s="1"/>
  <c r="G18" i="1"/>
  <c r="H18" i="1" s="1"/>
  <c r="G16" i="1"/>
  <c r="H16" i="1" s="1"/>
  <c r="G12" i="1"/>
  <c r="H12" i="1" s="1"/>
  <c r="G13" i="1"/>
  <c r="H13" i="1" s="1"/>
  <c r="G11" i="1"/>
  <c r="H11" i="1" s="1"/>
  <c r="H5" i="1"/>
  <c r="H6" i="1"/>
  <c r="H7" i="1"/>
  <c r="G5" i="1"/>
  <c r="G6" i="1"/>
  <c r="G7" i="1"/>
  <c r="G4" i="1"/>
  <c r="H4" i="1" s="1"/>
  <c r="I22" i="1" l="1"/>
  <c r="I27" i="1"/>
  <c r="H8" i="1"/>
  <c r="I6" i="1" s="1"/>
  <c r="I4" i="1"/>
  <c r="I7" i="1"/>
  <c r="H24" i="1"/>
  <c r="I21" i="1" s="1"/>
  <c r="H29" i="1"/>
  <c r="I26" i="1" s="1"/>
  <c r="H19" i="1"/>
  <c r="H14" i="1"/>
  <c r="J22" i="1" l="1"/>
  <c r="J4" i="1"/>
  <c r="I8" i="1"/>
  <c r="J7" i="1"/>
  <c r="I23" i="1"/>
  <c r="J23" i="1" s="1"/>
  <c r="I5" i="1"/>
  <c r="J5" i="1" s="1"/>
  <c r="I28" i="1"/>
  <c r="J28" i="1" s="1"/>
  <c r="I29" i="1"/>
  <c r="I17" i="1"/>
  <c r="I18" i="1"/>
  <c r="I16" i="1"/>
  <c r="I12" i="1"/>
  <c r="I13" i="1"/>
  <c r="I11" i="1"/>
  <c r="J6" i="1" l="1"/>
  <c r="K4" i="1"/>
  <c r="L4" i="1" s="1"/>
  <c r="N4" i="1" s="1"/>
  <c r="I24" i="1"/>
  <c r="J27" i="1"/>
  <c r="J21" i="1"/>
  <c r="K21" i="1" s="1"/>
  <c r="L21" i="1" s="1"/>
  <c r="N21" i="1" s="1"/>
  <c r="J26" i="1"/>
  <c r="K26" i="1" s="1"/>
  <c r="L26" i="1" s="1"/>
  <c r="N26" i="1" s="1"/>
  <c r="J17" i="1"/>
  <c r="J18" i="1"/>
  <c r="J16" i="1"/>
  <c r="I19" i="1"/>
  <c r="J13" i="1"/>
  <c r="J12" i="1"/>
  <c r="J11" i="1"/>
  <c r="I14" i="1"/>
  <c r="K16" i="1" l="1"/>
  <c r="L16" i="1" s="1"/>
  <c r="N16" i="1" s="1"/>
  <c r="K11" i="1"/>
  <c r="L11" i="1" s="1"/>
  <c r="N11" i="1" s="1"/>
</calcChain>
</file>

<file path=xl/sharedStrings.xml><?xml version="1.0" encoding="utf-8"?>
<sst xmlns="http://schemas.openxmlformats.org/spreadsheetml/2006/main" count="108" uniqueCount="62">
  <si>
    <t>城市宜居程度层次分析法评价</t>
    <phoneticPr fontId="3" type="noConversion"/>
  </si>
  <si>
    <t>准则层</t>
    <phoneticPr fontId="3" type="noConversion"/>
  </si>
  <si>
    <t>环境优美</t>
    <phoneticPr fontId="3" type="noConversion"/>
  </si>
  <si>
    <t>气候温和</t>
    <phoneticPr fontId="3" type="noConversion"/>
  </si>
  <si>
    <t>经济富裕</t>
    <phoneticPr fontId="3" type="noConversion"/>
  </si>
  <si>
    <t>公共安全</t>
    <phoneticPr fontId="3" type="noConversion"/>
  </si>
  <si>
    <t>行向量积</t>
    <phoneticPr fontId="3" type="noConversion"/>
  </si>
  <si>
    <t>N次方根</t>
    <phoneticPr fontId="3" type="noConversion"/>
  </si>
  <si>
    <t>特征向量</t>
    <phoneticPr fontId="3" type="noConversion"/>
  </si>
  <si>
    <t>和</t>
    <phoneticPr fontId="3" type="noConversion"/>
  </si>
  <si>
    <t>单位化(权重)</t>
    <phoneticPr fontId="3" type="noConversion"/>
  </si>
  <si>
    <t>CI</t>
    <phoneticPr fontId="3" type="noConversion"/>
  </si>
  <si>
    <t>CR</t>
    <phoneticPr fontId="3" type="noConversion"/>
  </si>
  <si>
    <t>ImdMax</t>
    <phoneticPr fontId="3" type="noConversion"/>
  </si>
  <si>
    <t>RI</t>
    <phoneticPr fontId="3" type="noConversion"/>
  </si>
  <si>
    <t>CR&lt;0.1, 通过一致性检验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</si>
  <si>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</si>
  <si>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</si>
  <si>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</si>
  <si>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B</t>
    <phoneticPr fontId="3" type="noConversion"/>
  </si>
  <si>
    <t>C</t>
    <phoneticPr fontId="3" type="noConversion"/>
  </si>
  <si>
    <t>A</t>
    <phoneticPr fontId="3" type="noConversion"/>
  </si>
  <si>
    <t>和</t>
    <phoneticPr fontId="3" type="noConversion"/>
  </si>
  <si>
    <t>A</t>
    <phoneticPr fontId="3" type="noConversion"/>
  </si>
  <si>
    <t>B</t>
    <phoneticPr fontId="3" type="noConversion"/>
  </si>
  <si>
    <t>评价</t>
    <phoneticPr fontId="3" type="noConversion"/>
  </si>
  <si>
    <t>综合得分</t>
    <phoneticPr fontId="3" type="noConversion"/>
  </si>
  <si>
    <t>综合得分中，C城市最高，A其次，B最后。</t>
    <phoneticPr fontId="3" type="noConversion"/>
  </si>
  <si>
    <t>故得出结论，三个城市中C最为宜居</t>
    <phoneticPr fontId="3" type="noConversion"/>
  </si>
  <si>
    <t>准则层</t>
  </si>
  <si>
    <t>行向量积</t>
  </si>
  <si>
    <t>N次方根</t>
  </si>
  <si>
    <t>特征向量</t>
  </si>
  <si>
    <t>ImdMax</t>
  </si>
  <si>
    <t>CI</t>
  </si>
  <si>
    <t>RI</t>
  </si>
  <si>
    <t>CR</t>
  </si>
  <si>
    <t>和</t>
  </si>
  <si>
    <t>CR&lt;0.1, 通过一致性检验</t>
  </si>
  <si>
    <t>医疗覆盖</t>
    <phoneticPr fontId="3" type="noConversion"/>
  </si>
  <si>
    <t>道路覆盖</t>
    <phoneticPr fontId="3" type="noConversion"/>
  </si>
  <si>
    <t>电话普及</t>
    <phoneticPr fontId="3" type="noConversion"/>
  </si>
  <si>
    <t>燃气普及</t>
    <phoneticPr fontId="3" type="noConversion"/>
  </si>
  <si>
    <t>燃气普及率通过用气人口（煤气，天然气）除以总人口得到；医疗覆盖为每万人医院数；电话普及为固定电话年末用户数除以人口；道路覆盖为人均铺装道路面积</t>
    <phoneticPr fontId="3" type="noConversion"/>
  </si>
  <si>
    <t>数据来源中国城市统计年鉴、CNRDS、CSMAR</t>
    <phoneticPr fontId="3" type="noConversion"/>
  </si>
  <si>
    <t>福州市</t>
  </si>
  <si>
    <t>厦门市</t>
  </si>
  <si>
    <t>莆田市</t>
  </si>
  <si>
    <t>三明市</t>
  </si>
  <si>
    <t>泉州市</t>
  </si>
  <si>
    <t>漳州市</t>
  </si>
  <si>
    <t>城市基础设施韧性的层次分析法分析——以2012年福建部分地级市为例</t>
    <phoneticPr fontId="3" type="noConversion"/>
  </si>
  <si>
    <t>人口</t>
    <phoneticPr fontId="3" type="noConversion"/>
  </si>
  <si>
    <t>总得分</t>
    <phoneticPr fontId="3" type="noConversion"/>
  </si>
  <si>
    <t>排名</t>
    <phoneticPr fontId="3" type="noConversion"/>
  </si>
  <si>
    <t>用气人口</t>
    <phoneticPr fontId="3" type="noConversion"/>
  </si>
  <si>
    <t>医院数</t>
    <phoneticPr fontId="3" type="noConversion"/>
  </si>
  <si>
    <t>电话用户</t>
    <phoneticPr fontId="3" type="noConversion"/>
  </si>
  <si>
    <t>道路面积</t>
    <phoneticPr fontId="3" type="noConversion"/>
  </si>
  <si>
    <t xml:space="preserve">指标来源：Wang, K., Jiang, W., &amp; Miao, Z. (2023). Impact of high-speed railway on urban resilience in china: Does urban innovation matter? </t>
    <phoneticPr fontId="3" type="noConversion"/>
  </si>
  <si>
    <t>Socio-Economic Planning Sciences, 87, Article 101607.</t>
    <phoneticPr fontId="3" type="noConversion"/>
  </si>
  <si>
    <t>权重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</si>
</sst>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9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华文中宋"/>
      <family val="3"/>
      <charset val="134"/>
    </font>
    <font>
      <sz val="11"/>
      <color rgb="FFFF0000"/>
      <name val="华文中宋"/>
      <family val="3"/>
      <charset val="134"/>
    </font>
    <font>
      <b/>
      <sz val="11"/>
      <color rgb="FFFF0000"/>
      <name val="Adobe 黑体 Std R"/>
      <family val="2"/>
      <charset val="134"/>
    </font>
    <font>
      <sz val="11"/>
      <color rgb="FF006100"/>
      <name val="华文中宋"/>
      <family val="3"/>
      <charset val="134"/>
    </font>
    <font>
      <sz val="11"/>
      <color rgb="FF9C6500"/>
      <name val="华文中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2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0" xfId="1" applyFont="1">
      <alignment vertical="center"/>
    </xf>
    <xf numFmtId="0" fontId="8" fillId="3" borderId="0" xfId="2" applyFont="1">
      <alignment vertic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="70" zoomScaleNormal="70" workbookViewId="0">
      <selection activeCell="A3" sqref="A3:N8"/>
    </sheetView>
  </sheetViews>
  <sheetFormatPr defaultRowHeight="14" x14ac:dyDescent="0.3"/>
  <cols>
    <col min="2" max="2" width="10.9140625" bestFit="1" customWidth="1"/>
    <col min="3" max="3" width="10.08203125" customWidth="1"/>
    <col min="4" max="4" width="11.25" bestFit="1" customWidth="1"/>
    <col min="5" max="5" width="8.75" bestFit="1" customWidth="1"/>
    <col min="7" max="7" width="9" bestFit="1" customWidth="1"/>
    <col min="8" max="8" width="10.25" customWidth="1"/>
    <col min="9" max="9" width="11.9140625" customWidth="1"/>
    <col min="10" max="10" width="9.33203125" bestFit="1" customWidth="1"/>
    <col min="14" max="14" width="15.33203125" bestFit="1" customWidth="1"/>
  </cols>
  <sheetData>
    <row r="1" spans="1:22" ht="14.5" x14ac:dyDescent="0.3">
      <c r="A1" s="5" t="s">
        <v>0</v>
      </c>
    </row>
    <row r="2" spans="1:22" s="1" customFormat="1" ht="15" x14ac:dyDescent="0.3"/>
    <row r="3" spans="1:22" s="1" customFormat="1" ht="15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G3" s="1" t="s">
        <v>6</v>
      </c>
      <c r="H3" s="1" t="s">
        <v>7</v>
      </c>
      <c r="I3" s="1" t="s">
        <v>10</v>
      </c>
      <c r="J3" s="1" t="s">
        <v>8</v>
      </c>
      <c r="K3" s="1" t="s">
        <v>13</v>
      </c>
      <c r="L3" s="1" t="s">
        <v>11</v>
      </c>
      <c r="M3" s="1" t="s">
        <v>14</v>
      </c>
      <c r="N3" s="1" t="s">
        <v>12</v>
      </c>
    </row>
    <row r="4" spans="1:22" s="1" customFormat="1" ht="15" x14ac:dyDescent="0.3">
      <c r="A4" s="6" t="s">
        <v>2</v>
      </c>
      <c r="B4" s="3">
        <v>1</v>
      </c>
      <c r="C4" s="3">
        <v>2</v>
      </c>
      <c r="D4" s="3">
        <v>0.5</v>
      </c>
      <c r="E4" s="3">
        <v>2</v>
      </c>
      <c r="G4" s="1">
        <f>PRODUCT(B4:E4)</f>
        <v>2</v>
      </c>
      <c r="H4" s="1">
        <f>POWER(G4,1/4)</f>
        <v>1.189207115002721</v>
      </c>
      <c r="I4" s="1">
        <f>H4/$H$8</f>
        <v>0.26111576784341428</v>
      </c>
      <c r="J4" s="2">
        <f>SUM(B4*I4,C4*I5,D4*I6,E4*I7)</f>
        <v>1.1531955143531467</v>
      </c>
      <c r="K4" s="1">
        <f>(SUMPRODUCT(J4:J7,POWER(I4:I7,-1)))/4</f>
        <v>4.2527373383180009</v>
      </c>
      <c r="L4" s="1">
        <f>(K4-4)/3</f>
        <v>8.4245779439333646E-2</v>
      </c>
      <c r="M4" s="1">
        <v>0.9</v>
      </c>
      <c r="N4" s="1">
        <f>L4/M4</f>
        <v>9.3606421599259609E-2</v>
      </c>
    </row>
    <row r="5" spans="1:22" s="1" customFormat="1" ht="15" x14ac:dyDescent="0.3">
      <c r="A5" s="6" t="s">
        <v>3</v>
      </c>
      <c r="B5" s="3">
        <v>0.5</v>
      </c>
      <c r="C5" s="3">
        <v>1</v>
      </c>
      <c r="D5" s="3">
        <v>1</v>
      </c>
      <c r="E5" s="3">
        <v>4</v>
      </c>
      <c r="G5" s="1">
        <f t="shared" ref="G5:G7" si="0">PRODUCT(B5:E5)</f>
        <v>2</v>
      </c>
      <c r="H5" s="1">
        <f t="shared" ref="H5:H7" si="1">POWER(G5,1/4)</f>
        <v>1.189207115002721</v>
      </c>
      <c r="I5" s="1">
        <f t="shared" ref="I5:I7" si="2">H5/$H$8</f>
        <v>0.26111576784341428</v>
      </c>
      <c r="J5" s="2">
        <f>SUM(B5*I4,C5*I5,D5*I6,E5*I7)</f>
        <v>1.1313700734109291</v>
      </c>
    </row>
    <row r="6" spans="1:22" s="1" customFormat="1" ht="15" x14ac:dyDescent="0.3">
      <c r="A6" s="6" t="s">
        <v>4</v>
      </c>
      <c r="B6" s="3">
        <v>2</v>
      </c>
      <c r="C6" s="3">
        <v>1</v>
      </c>
      <c r="D6" s="3">
        <v>1</v>
      </c>
      <c r="E6" s="3">
        <v>5</v>
      </c>
      <c r="G6" s="1">
        <f t="shared" si="0"/>
        <v>10</v>
      </c>
      <c r="H6" s="1">
        <f t="shared" si="1"/>
        <v>1.778279410038923</v>
      </c>
      <c r="I6" s="1">
        <f t="shared" si="2"/>
        <v>0.39045914520229275</v>
      </c>
      <c r="J6" s="2">
        <f>SUM(B6*I4,C6*I5,D6*I6,E6*I7)</f>
        <v>1.6103530442869292</v>
      </c>
    </row>
    <row r="7" spans="1:22" s="1" customFormat="1" ht="15" x14ac:dyDescent="0.3">
      <c r="A7" s="6" t="s">
        <v>5</v>
      </c>
      <c r="B7" s="3">
        <v>0.5</v>
      </c>
      <c r="C7" s="3">
        <v>0.25</v>
      </c>
      <c r="D7" s="3">
        <v>0.2</v>
      </c>
      <c r="E7" s="3">
        <v>1</v>
      </c>
      <c r="G7" s="1">
        <f t="shared" si="0"/>
        <v>2.5000000000000001E-2</v>
      </c>
      <c r="H7" s="1">
        <f t="shared" si="1"/>
        <v>0.39763536438352531</v>
      </c>
      <c r="I7" s="1">
        <f t="shared" si="2"/>
        <v>8.7309319110878733E-2</v>
      </c>
      <c r="J7" s="2">
        <f>SUM(B7*I4,C7*I5,D7*I6,E7*I7)</f>
        <v>0.36123797403389801</v>
      </c>
    </row>
    <row r="8" spans="1:22" s="1" customFormat="1" ht="15" x14ac:dyDescent="0.3">
      <c r="F8" s="1" t="s">
        <v>9</v>
      </c>
      <c r="H8" s="1">
        <f>SUM(H4:H7)</f>
        <v>4.5543290044278901</v>
      </c>
      <c r="I8" s="1">
        <f>SUM(I4:I7)</f>
        <v>1</v>
      </c>
      <c r="N8" s="4" t="s">
        <v>15</v>
      </c>
    </row>
    <row r="9" spans="1:22" s="1" customFormat="1" ht="15" x14ac:dyDescent="0.3"/>
    <row r="10" spans="1:22" s="1" customFormat="1" ht="15" x14ac:dyDescent="0.3">
      <c r="A10" s="6" t="s">
        <v>2</v>
      </c>
      <c r="B10" s="1" t="s">
        <v>16</v>
      </c>
      <c r="C10" s="1" t="s">
        <v>19</v>
      </c>
      <c r="D10" s="1" t="s">
        <v>20</v>
      </c>
    </row>
    <row r="11" spans="1:22" s="1" customFormat="1" ht="15" x14ac:dyDescent="0.3">
      <c r="A11" s="1" t="s">
        <v>16</v>
      </c>
      <c r="B11" s="3">
        <v>1</v>
      </c>
      <c r="C11" s="3">
        <v>2</v>
      </c>
      <c r="D11" s="3">
        <v>2</v>
      </c>
      <c r="G11" s="1">
        <f>PRODUCT(B11:D11)</f>
        <v>4</v>
      </c>
      <c r="H11" s="1">
        <f>POWER(G11,1/3)</f>
        <v>1.5874010519681994</v>
      </c>
      <c r="I11" s="1">
        <f>H11/$H$14</f>
        <v>0.51631817596337293</v>
      </c>
      <c r="J11" s="1">
        <f>SUM(B11*$I$11,C11*$I$12,D11*$I$13)</f>
        <v>1.4836818240366272</v>
      </c>
      <c r="K11" s="1">
        <f>(SUMPRODUCT(J11:J13,POWER(I11:I13,-1))/3)</f>
        <v>3.0095328217103723</v>
      </c>
      <c r="L11" s="1">
        <f>(K11-3)/2</f>
        <v>4.7664108551861428E-3</v>
      </c>
      <c r="M11" s="1">
        <v>0.57999999999999996</v>
      </c>
      <c r="N11" s="1">
        <f>L11/M11</f>
        <v>8.217949750320936E-3</v>
      </c>
    </row>
    <row r="12" spans="1:22" s="1" customFormat="1" ht="15" x14ac:dyDescent="0.3">
      <c r="A12" s="1" t="s">
        <v>17</v>
      </c>
      <c r="B12" s="3">
        <v>0.25</v>
      </c>
      <c r="C12" s="3">
        <v>1</v>
      </c>
      <c r="D12" s="3">
        <v>2</v>
      </c>
      <c r="G12" s="1">
        <f t="shared" ref="G12:G13" si="3">PRODUCT(B12:D12)</f>
        <v>0.5</v>
      </c>
      <c r="H12" s="1">
        <f t="shared" ref="H12:H13" si="4">POWER(G12,1/3)</f>
        <v>0.79370052598409979</v>
      </c>
      <c r="I12" s="1">
        <f t="shared" ref="I12:I13" si="5">H12/$H$14</f>
        <v>0.25815908798168646</v>
      </c>
      <c r="J12" s="1">
        <f>SUM(B12*$I$11,C12*$I$12,D12*$I$13)</f>
        <v>0.83828410408241116</v>
      </c>
      <c r="R12" s="1">
        <v>0.26111576784341428</v>
      </c>
      <c r="S12" s="1">
        <v>0.26111576784341428</v>
      </c>
      <c r="T12" s="1">
        <v>0.39045914520229275</v>
      </c>
      <c r="U12" s="1">
        <v>8.7309319110878733E-2</v>
      </c>
    </row>
    <row r="13" spans="1:22" s="1" customFormat="1" ht="15" x14ac:dyDescent="0.3">
      <c r="A13" s="1" t="s">
        <v>18</v>
      </c>
      <c r="B13" s="3">
        <v>0.33333333333333331</v>
      </c>
      <c r="C13" s="3">
        <v>1</v>
      </c>
      <c r="D13" s="3">
        <v>1</v>
      </c>
      <c r="G13" s="1">
        <f t="shared" si="3"/>
        <v>0.33333333333333331</v>
      </c>
      <c r="H13" s="1">
        <f t="shared" si="4"/>
        <v>0.69336127435063466</v>
      </c>
      <c r="I13" s="1">
        <f t="shared" si="5"/>
        <v>0.22552273605494072</v>
      </c>
      <c r="J13" s="1">
        <f>SUM(B13*$I$11,C13*$I$12,D13*$I$13)</f>
        <v>0.65578788269108479</v>
      </c>
      <c r="Q13" s="7" t="s">
        <v>25</v>
      </c>
      <c r="R13" s="1" t="s">
        <v>2</v>
      </c>
      <c r="S13" s="1" t="s">
        <v>3</v>
      </c>
      <c r="T13" s="1" t="s">
        <v>4</v>
      </c>
      <c r="U13" s="1" t="s">
        <v>5</v>
      </c>
      <c r="V13" s="1" t="s">
        <v>26</v>
      </c>
    </row>
    <row r="14" spans="1:22" s="1" customFormat="1" ht="15" x14ac:dyDescent="0.3">
      <c r="F14" s="1" t="s">
        <v>9</v>
      </c>
      <c r="H14" s="1">
        <f>SUM(H11:H13)</f>
        <v>3.0744628523029336</v>
      </c>
      <c r="I14" s="1">
        <f>SUM(I11:I13)</f>
        <v>1.0000000000000002</v>
      </c>
      <c r="N14" s="4" t="s">
        <v>15</v>
      </c>
      <c r="Q14" s="1" t="s">
        <v>16</v>
      </c>
      <c r="R14" s="1">
        <v>0.51631817596337293</v>
      </c>
      <c r="S14" s="1">
        <v>0.32389701991016234</v>
      </c>
      <c r="T14" s="1">
        <v>0.24263692173195622</v>
      </c>
      <c r="U14" s="1">
        <v>0.1364998029888613</v>
      </c>
      <c r="V14" s="1">
        <f>SUMPRODUCT(R14:U14,$R$12:$U$12)</f>
        <v>0.32605094593592471</v>
      </c>
    </row>
    <row r="15" spans="1:22" s="1" customFormat="1" ht="15" x14ac:dyDescent="0.3">
      <c r="A15" s="6" t="s">
        <v>3</v>
      </c>
      <c r="B15" s="1" t="s">
        <v>21</v>
      </c>
      <c r="C15" s="1" t="s">
        <v>17</v>
      </c>
      <c r="D15" s="1" t="s">
        <v>20</v>
      </c>
      <c r="Q15" s="1" t="s">
        <v>17</v>
      </c>
      <c r="R15" s="1">
        <v>0.25815908798168646</v>
      </c>
      <c r="S15" s="1">
        <v>0.16194850995508117</v>
      </c>
      <c r="T15" s="1">
        <v>8.7946208819056029E-2</v>
      </c>
      <c r="U15" s="1">
        <v>0.62501307434829345</v>
      </c>
      <c r="V15" s="1">
        <f>SUMPRODUCT(R15:U15,$R$12:$U$12)</f>
        <v>0.19860558548812893</v>
      </c>
    </row>
    <row r="16" spans="1:22" s="1" customFormat="1" ht="15" x14ac:dyDescent="0.3">
      <c r="A16" s="1" t="s">
        <v>16</v>
      </c>
      <c r="B16" s="3">
        <v>1</v>
      </c>
      <c r="C16" s="3">
        <v>0.25</v>
      </c>
      <c r="D16" s="3">
        <v>2</v>
      </c>
      <c r="G16" s="1">
        <f>PRODUCT(B16:D16)</f>
        <v>0.5</v>
      </c>
      <c r="H16" s="1">
        <f>POWER(G16,1/3)</f>
        <v>0.79370052598409979</v>
      </c>
      <c r="I16" s="1">
        <f>H16/$H$19</f>
        <v>0.32389701991016234</v>
      </c>
      <c r="J16" s="1">
        <f>SUM(B16*$I$16,C16*$I$17,D16*$I$18)</f>
        <v>1.3926930876684458</v>
      </c>
      <c r="K16" s="1">
        <f>(SUMPRODUCT(J16:J18,POWER(I16:I18,-1))/3)</f>
        <v>3.0561346474296971</v>
      </c>
      <c r="L16" s="1">
        <f>(K16-3)/2</f>
        <v>2.8067323714848547E-2</v>
      </c>
      <c r="M16" s="1">
        <v>0.57999999999999996</v>
      </c>
      <c r="N16" s="1">
        <f>L16/M16</f>
        <v>4.8391937439394052E-2</v>
      </c>
      <c r="Q16" s="1" t="s">
        <v>20</v>
      </c>
      <c r="R16" s="1">
        <v>0.22552273605494072</v>
      </c>
      <c r="S16" s="1">
        <v>0.51415447013475657</v>
      </c>
      <c r="T16" s="1">
        <v>0.66941686944898782</v>
      </c>
      <c r="U16" s="1">
        <v>0.23848712266284533</v>
      </c>
      <c r="V16" s="1">
        <f>SUMPRODUCT(R16:U16,$R$12:$U$12)</f>
        <v>0.4753434685759465</v>
      </c>
    </row>
    <row r="17" spans="1:17" s="1" customFormat="1" ht="15" x14ac:dyDescent="0.3">
      <c r="A17" s="1" t="s">
        <v>17</v>
      </c>
      <c r="B17" s="3">
        <v>0.25</v>
      </c>
      <c r="C17" s="3">
        <v>1</v>
      </c>
      <c r="D17" s="3">
        <v>0.25</v>
      </c>
      <c r="G17" s="1">
        <f t="shared" ref="G17:G18" si="6">PRODUCT(B17:D17)</f>
        <v>6.25E-2</v>
      </c>
      <c r="H17" s="1">
        <f>POWER(G17,1/3)</f>
        <v>0.3968502629920499</v>
      </c>
      <c r="I17" s="1">
        <f t="shared" ref="I17:I18" si="7">H17/$H$19</f>
        <v>0.16194850995508117</v>
      </c>
      <c r="J17" s="1">
        <f t="shared" ref="J17:J18" si="8">SUM(B17*$I$16,C17*$I$17,D17*$I$18)</f>
        <v>0.37146138246631089</v>
      </c>
    </row>
    <row r="18" spans="1:17" s="1" customFormat="1" ht="15" x14ac:dyDescent="0.3">
      <c r="A18" s="1" t="s">
        <v>18</v>
      </c>
      <c r="B18" s="3">
        <v>0.5</v>
      </c>
      <c r="C18" s="3">
        <v>4</v>
      </c>
      <c r="D18" s="3">
        <v>1</v>
      </c>
      <c r="G18" s="1">
        <f t="shared" si="6"/>
        <v>2</v>
      </c>
      <c r="H18" s="1">
        <f>POWER(G18,1/3)</f>
        <v>1.2599210498948732</v>
      </c>
      <c r="I18" s="1">
        <f t="shared" si="7"/>
        <v>0.51415447013475657</v>
      </c>
      <c r="J18" s="1">
        <f t="shared" si="8"/>
        <v>1.3238970199101625</v>
      </c>
      <c r="Q18" s="4" t="s">
        <v>27</v>
      </c>
    </row>
    <row r="19" spans="1:17" ht="15" x14ac:dyDescent="0.3">
      <c r="F19" s="1" t="s">
        <v>22</v>
      </c>
      <c r="H19" s="1">
        <f>SUM(H16:H18)</f>
        <v>2.4504718388710227</v>
      </c>
      <c r="I19" s="1">
        <f>SUM(I16:I18)</f>
        <v>1</v>
      </c>
      <c r="N19" s="4" t="s">
        <v>15</v>
      </c>
      <c r="Q19" s="4" t="s">
        <v>28</v>
      </c>
    </row>
    <row r="20" spans="1:17" ht="15" x14ac:dyDescent="0.3">
      <c r="A20" s="6" t="s">
        <v>4</v>
      </c>
      <c r="B20" s="1" t="s">
        <v>23</v>
      </c>
      <c r="C20" s="1" t="s">
        <v>24</v>
      </c>
      <c r="D20" s="1" t="s">
        <v>18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7" ht="15" x14ac:dyDescent="0.3">
      <c r="A21" s="1" t="s">
        <v>16</v>
      </c>
      <c r="B21" s="3">
        <v>1</v>
      </c>
      <c r="C21" s="3">
        <v>3</v>
      </c>
      <c r="D21" s="3">
        <v>0.33333333333333331</v>
      </c>
      <c r="E21" s="1"/>
      <c r="F21" s="1"/>
      <c r="G21" s="1">
        <f>PRODUCT(B21:D21)</f>
        <v>1</v>
      </c>
      <c r="H21" s="1">
        <f>POWER(G21,1/3)</f>
        <v>1</v>
      </c>
      <c r="I21" s="1">
        <f>H21/$H$24</f>
        <v>0.24263692173195622</v>
      </c>
      <c r="J21" s="1">
        <f>SUM(B21*$I$21,C21*$I$22,D21*$I$23)</f>
        <v>0.7296145046721203</v>
      </c>
      <c r="K21" s="1">
        <f>(SUMPRODUCT(J21:J23,POWER(I21:I23,-1))/3)</f>
        <v>3.0070217651299322</v>
      </c>
      <c r="L21" s="1">
        <f>(K21-3)/2</f>
        <v>3.5108825649661224E-3</v>
      </c>
      <c r="M21" s="1">
        <v>0.57999999999999996</v>
      </c>
      <c r="N21" s="1">
        <f>L21/M21</f>
        <v>6.0532458016657291E-3</v>
      </c>
    </row>
    <row r="22" spans="1:17" ht="15" x14ac:dyDescent="0.3">
      <c r="A22" s="1" t="s">
        <v>17</v>
      </c>
      <c r="B22" s="3">
        <v>0.33333333333333331</v>
      </c>
      <c r="C22" s="3">
        <v>1</v>
      </c>
      <c r="D22" s="3">
        <v>0.14285714285714285</v>
      </c>
      <c r="E22" s="1"/>
      <c r="F22" s="1"/>
      <c r="G22" s="1">
        <f t="shared" ref="G22:G23" si="9">PRODUCT(B22:D22)</f>
        <v>4.7619047619047616E-2</v>
      </c>
      <c r="H22" s="1">
        <f>POWER(G22,1/3)</f>
        <v>0.36246012433429736</v>
      </c>
      <c r="I22" s="1">
        <f t="shared" ref="I22:I23" si="10">H22/$H$24</f>
        <v>8.7946208819056029E-2</v>
      </c>
      <c r="J22" s="1">
        <f>SUM(B22*$I$21,C22*$I$22,D22*$I$23)</f>
        <v>0.26445616407956352</v>
      </c>
      <c r="K22" s="1"/>
      <c r="L22" s="1"/>
      <c r="M22" s="1"/>
      <c r="N22" s="1"/>
    </row>
    <row r="23" spans="1:17" ht="15" x14ac:dyDescent="0.3">
      <c r="A23" s="1" t="s">
        <v>20</v>
      </c>
      <c r="B23" s="3">
        <v>3</v>
      </c>
      <c r="C23" s="3">
        <v>7</v>
      </c>
      <c r="D23" s="3">
        <v>1</v>
      </c>
      <c r="E23" s="1"/>
      <c r="F23" s="1"/>
      <c r="G23" s="1">
        <f t="shared" si="9"/>
        <v>21</v>
      </c>
      <c r="H23" s="1">
        <f>POWER(G23,1/3)</f>
        <v>2.7589241763811208</v>
      </c>
      <c r="I23" s="1">
        <f t="shared" si="10"/>
        <v>0.66941686944898782</v>
      </c>
      <c r="J23" s="1">
        <f>SUM(B23*$I$21,C23*$I$22,D23*$I$23)</f>
        <v>2.0129510963782486</v>
      </c>
      <c r="K23" s="1"/>
      <c r="L23" s="1"/>
      <c r="M23" s="1"/>
      <c r="N23" s="1"/>
    </row>
    <row r="24" spans="1:17" ht="15" x14ac:dyDescent="0.3">
      <c r="F24" s="1" t="s">
        <v>22</v>
      </c>
      <c r="H24" s="1">
        <f>SUM(H21:H23)</f>
        <v>4.1213843007154178</v>
      </c>
      <c r="I24" s="1">
        <f>SUM(I21:I23)</f>
        <v>1</v>
      </c>
      <c r="N24" s="4" t="s">
        <v>15</v>
      </c>
    </row>
    <row r="25" spans="1:17" ht="15" x14ac:dyDescent="0.3">
      <c r="A25" s="6" t="s">
        <v>5</v>
      </c>
      <c r="B25" s="1" t="s">
        <v>23</v>
      </c>
      <c r="C25" s="1" t="s">
        <v>24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7" ht="15" x14ac:dyDescent="0.3">
      <c r="A26" s="1" t="s">
        <v>16</v>
      </c>
      <c r="B26" s="3">
        <v>1</v>
      </c>
      <c r="C26" s="3">
        <v>0.25</v>
      </c>
      <c r="D26" s="3">
        <v>0.5</v>
      </c>
      <c r="E26" s="1"/>
      <c r="F26" s="1"/>
      <c r="G26" s="1">
        <f>PRODUCT(B26:D26)</f>
        <v>0.125</v>
      </c>
      <c r="H26" s="1">
        <f>POWER(G26,1/3)</f>
        <v>0.50000000000000011</v>
      </c>
      <c r="I26" s="1">
        <f>H26/$H$29</f>
        <v>0.1364998029888613</v>
      </c>
      <c r="J26" s="1">
        <f>SUM(B26*$I$26,C26*$I$27,D26*$I$28)</f>
        <v>0.41199663290735733</v>
      </c>
      <c r="K26" s="1">
        <f>(SUMPRODUCT(J26:J28,POWER(I26:I28,-1))/3)</f>
        <v>3.0182947072896305</v>
      </c>
      <c r="L26" s="1">
        <f>(K26-3)/2</f>
        <v>9.1473536448152259E-3</v>
      </c>
      <c r="M26" s="1">
        <v>0.57999999999999996</v>
      </c>
      <c r="N26" s="1">
        <f>L26/M26</f>
        <v>1.5771299387612459E-2</v>
      </c>
    </row>
    <row r="27" spans="1:17" ht="15" x14ac:dyDescent="0.3">
      <c r="A27" s="1" t="s">
        <v>17</v>
      </c>
      <c r="B27" s="3">
        <v>4</v>
      </c>
      <c r="C27" s="3">
        <v>1</v>
      </c>
      <c r="D27" s="3">
        <v>3</v>
      </c>
      <c r="E27" s="1"/>
      <c r="F27" s="1"/>
      <c r="G27" s="1">
        <f t="shared" ref="G27:G28" si="11">PRODUCT(B27:D27)</f>
        <v>12</v>
      </c>
      <c r="H27" s="1">
        <f>POWER(G27,1/3)</f>
        <v>2.2894284851066637</v>
      </c>
      <c r="I27" s="1">
        <f t="shared" ref="I27:I28" si="12">H27/$H$29</f>
        <v>0.62501307434829345</v>
      </c>
      <c r="J27" s="1">
        <f>SUM(B27*$I$26,C27*$I$27,D27*$I$28)</f>
        <v>1.8864736542922746</v>
      </c>
      <c r="K27" s="1"/>
      <c r="L27" s="1"/>
      <c r="M27" s="1"/>
      <c r="N27" s="1"/>
    </row>
    <row r="28" spans="1:17" ht="15" x14ac:dyDescent="0.3">
      <c r="A28" s="1" t="s">
        <v>20</v>
      </c>
      <c r="B28" s="3">
        <v>2</v>
      </c>
      <c r="C28" s="3">
        <v>0.33333333333333331</v>
      </c>
      <c r="D28" s="3">
        <v>1</v>
      </c>
      <c r="E28" s="1"/>
      <c r="F28" s="1"/>
      <c r="G28" s="1">
        <f t="shared" si="11"/>
        <v>0.66666666666666663</v>
      </c>
      <c r="H28" s="1">
        <f>POWER(G28,1/3)</f>
        <v>0.87358046473629891</v>
      </c>
      <c r="I28" s="1">
        <f t="shared" si="12"/>
        <v>0.23848712266284533</v>
      </c>
      <c r="J28" s="1">
        <f>SUM(B28*$I$26,C28*$I$27,D28*$I$28)</f>
        <v>0.71982442008999903</v>
      </c>
      <c r="K28" s="1"/>
      <c r="L28" s="1"/>
      <c r="M28" s="1"/>
      <c r="N28" s="1"/>
    </row>
    <row r="29" spans="1:17" ht="15" x14ac:dyDescent="0.3">
      <c r="F29" s="1" t="s">
        <v>22</v>
      </c>
      <c r="H29" s="1">
        <f>SUM(H26:H28)</f>
        <v>3.6630089498429625</v>
      </c>
      <c r="I29" s="1">
        <f>SUM(I26:I28)</f>
        <v>1</v>
      </c>
      <c r="N29" s="4" t="s">
        <v>15</v>
      </c>
    </row>
    <row r="30" spans="1:17" ht="15" x14ac:dyDescent="0.3">
      <c r="F30" s="1"/>
      <c r="H30" s="1"/>
      <c r="I30" s="1"/>
      <c r="N30" s="4"/>
    </row>
    <row r="31" spans="1:17" ht="15" x14ac:dyDescent="0.3">
      <c r="I31" s="1"/>
      <c r="J31" s="1"/>
      <c r="K31" s="1"/>
    </row>
    <row r="32" spans="1:17" ht="15" x14ac:dyDescent="0.3">
      <c r="I32" s="1"/>
      <c r="J32" s="1"/>
      <c r="K32" s="1"/>
    </row>
    <row r="33" spans="9:11" ht="15" x14ac:dyDescent="0.3">
      <c r="I33" s="1"/>
      <c r="J33" s="1"/>
      <c r="K33" s="1"/>
    </row>
    <row r="34" spans="9:11" ht="15" x14ac:dyDescent="0.3">
      <c r="I34" s="1"/>
      <c r="J34" s="1"/>
      <c r="K34" s="1"/>
    </row>
    <row r="35" spans="9:11" ht="15" x14ac:dyDescent="0.3">
      <c r="I35" s="1"/>
      <c r="J35" s="1"/>
      <c r="K35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Q24" sqref="Q24"/>
    </sheetView>
  </sheetViews>
  <sheetFormatPr defaultRowHeight="14" x14ac:dyDescent="0.3"/>
  <sheetData>
    <row r="1" spans="1:14" ht="15" x14ac:dyDescent="0.3">
      <c r="A1" s="1" t="s">
        <v>51</v>
      </c>
    </row>
    <row r="2" spans="1:14" ht="15" x14ac:dyDescent="0.3">
      <c r="A2" s="1" t="s">
        <v>59</v>
      </c>
    </row>
    <row r="3" spans="1:14" ht="15" x14ac:dyDescent="0.3">
      <c r="A3" s="1"/>
      <c r="B3" s="1" t="s">
        <v>60</v>
      </c>
    </row>
    <row r="4" spans="1:14" ht="15" x14ac:dyDescent="0.3">
      <c r="A4" s="1" t="s">
        <v>43</v>
      </c>
    </row>
    <row r="5" spans="1:14" ht="15" x14ac:dyDescent="0.3">
      <c r="A5" s="1" t="s">
        <v>44</v>
      </c>
    </row>
    <row r="7" spans="1:14" ht="15" x14ac:dyDescent="0.3">
      <c r="A7" s="1" t="s">
        <v>29</v>
      </c>
      <c r="B7" s="1" t="s">
        <v>42</v>
      </c>
      <c r="C7" s="1" t="s">
        <v>39</v>
      </c>
      <c r="D7" s="1" t="s">
        <v>41</v>
      </c>
      <c r="E7" s="1" t="s">
        <v>40</v>
      </c>
      <c r="F7" s="1"/>
      <c r="G7" s="1" t="s">
        <v>30</v>
      </c>
      <c r="H7" s="1" t="s">
        <v>31</v>
      </c>
      <c r="I7" s="1" t="s">
        <v>61</v>
      </c>
      <c r="J7" s="1" t="s">
        <v>32</v>
      </c>
      <c r="K7" s="1" t="s">
        <v>33</v>
      </c>
      <c r="L7" s="1" t="s">
        <v>34</v>
      </c>
      <c r="M7" s="1" t="s">
        <v>35</v>
      </c>
      <c r="N7" s="1" t="s">
        <v>36</v>
      </c>
    </row>
    <row r="8" spans="1:14" ht="15" x14ac:dyDescent="0.3">
      <c r="A8" s="1" t="s">
        <v>42</v>
      </c>
      <c r="B8" s="1">
        <v>1</v>
      </c>
      <c r="C8" s="1">
        <v>2</v>
      </c>
      <c r="D8" s="1">
        <v>0.5</v>
      </c>
      <c r="E8" s="1">
        <v>2</v>
      </c>
      <c r="F8" s="1"/>
      <c r="G8" s="1">
        <v>2</v>
      </c>
      <c r="H8" s="1">
        <v>1.189207115002721</v>
      </c>
      <c r="I8" s="1">
        <v>0.26111576784341428</v>
      </c>
      <c r="J8" s="1">
        <v>1.1531955143531467</v>
      </c>
      <c r="K8" s="1">
        <v>4.2527373383180009</v>
      </c>
      <c r="L8" s="1">
        <v>8.4245779439333646E-2</v>
      </c>
      <c r="M8" s="1">
        <v>0.9</v>
      </c>
      <c r="N8" s="1">
        <v>9.3606421599259609E-2</v>
      </c>
    </row>
    <row r="9" spans="1:14" ht="15" x14ac:dyDescent="0.3">
      <c r="A9" s="1" t="s">
        <v>39</v>
      </c>
      <c r="B9" s="1">
        <v>0.5</v>
      </c>
      <c r="C9" s="1">
        <v>1</v>
      </c>
      <c r="D9" s="1">
        <v>1</v>
      </c>
      <c r="E9" s="1">
        <v>4</v>
      </c>
      <c r="F9" s="1"/>
      <c r="G9" s="1">
        <v>2</v>
      </c>
      <c r="H9" s="1">
        <v>1.189207115002721</v>
      </c>
      <c r="I9" s="1">
        <v>0.26111576784341428</v>
      </c>
      <c r="J9" s="1">
        <v>1.1313700734109291</v>
      </c>
      <c r="K9" s="1"/>
      <c r="L9" s="1"/>
      <c r="M9" s="1"/>
      <c r="N9" s="1"/>
    </row>
    <row r="10" spans="1:14" ht="15" x14ac:dyDescent="0.3">
      <c r="A10" s="1" t="s">
        <v>41</v>
      </c>
      <c r="B10" s="1">
        <v>2</v>
      </c>
      <c r="C10" s="1">
        <v>1</v>
      </c>
      <c r="D10" s="1">
        <v>1</v>
      </c>
      <c r="E10" s="1">
        <v>5</v>
      </c>
      <c r="F10" s="1"/>
      <c r="G10" s="1">
        <v>10</v>
      </c>
      <c r="H10" s="1">
        <v>1.778279410038923</v>
      </c>
      <c r="I10" s="1">
        <v>0.39045914520229275</v>
      </c>
      <c r="J10" s="1">
        <v>1.6103530442869292</v>
      </c>
      <c r="K10" s="1"/>
      <c r="L10" s="1"/>
      <c r="M10" s="1"/>
      <c r="N10" s="1"/>
    </row>
    <row r="11" spans="1:14" ht="15" x14ac:dyDescent="0.3">
      <c r="A11" s="1" t="s">
        <v>40</v>
      </c>
      <c r="B11" s="1">
        <v>0.5</v>
      </c>
      <c r="C11" s="1">
        <v>0.25</v>
      </c>
      <c r="D11" s="1">
        <v>0.2</v>
      </c>
      <c r="E11" s="1">
        <v>1</v>
      </c>
      <c r="F11" s="1"/>
      <c r="G11" s="1">
        <v>2.5000000000000001E-2</v>
      </c>
      <c r="H11" s="1">
        <v>0.39763536438352531</v>
      </c>
      <c r="I11" s="1">
        <v>8.7309319110878733E-2</v>
      </c>
      <c r="J11" s="1">
        <v>0.36123797403389801</v>
      </c>
      <c r="K11" s="1"/>
      <c r="L11" s="1"/>
      <c r="M11" s="1"/>
      <c r="N11" s="1"/>
    </row>
    <row r="12" spans="1:14" ht="15" x14ac:dyDescent="0.3">
      <c r="A12" s="1"/>
      <c r="B12" s="1"/>
      <c r="C12" s="1"/>
      <c r="D12" s="1"/>
      <c r="E12" s="1"/>
      <c r="F12" s="1" t="s">
        <v>37</v>
      </c>
      <c r="G12" s="1"/>
      <c r="H12" s="1">
        <v>4.5543290044278901</v>
      </c>
      <c r="I12" s="1">
        <v>1</v>
      </c>
      <c r="J12" s="1"/>
      <c r="K12" s="1"/>
      <c r="L12" s="1"/>
      <c r="M12" s="1"/>
      <c r="N12" s="1" t="s">
        <v>38</v>
      </c>
    </row>
    <row r="15" spans="1:14" ht="15" x14ac:dyDescent="0.3">
      <c r="H15" s="1">
        <v>0.26111576784341428</v>
      </c>
      <c r="I15" s="1">
        <v>0.26111576784341428</v>
      </c>
      <c r="J15" s="1">
        <v>0.39045914520229275</v>
      </c>
      <c r="K15" s="1">
        <v>8.7309319110878733E-2</v>
      </c>
    </row>
    <row r="16" spans="1:14" ht="15" x14ac:dyDescent="0.3">
      <c r="A16" s="1"/>
      <c r="B16" s="1" t="s">
        <v>55</v>
      </c>
      <c r="C16" s="1" t="s">
        <v>56</v>
      </c>
      <c r="D16" s="1" t="s">
        <v>57</v>
      </c>
      <c r="E16" s="1" t="s">
        <v>58</v>
      </c>
      <c r="F16" s="1" t="s">
        <v>52</v>
      </c>
      <c r="G16" s="1"/>
      <c r="H16" s="1" t="s">
        <v>42</v>
      </c>
      <c r="I16" s="1" t="s">
        <v>39</v>
      </c>
      <c r="J16" s="1" t="s">
        <v>41</v>
      </c>
      <c r="K16" s="1" t="s">
        <v>40</v>
      </c>
      <c r="M16" s="1" t="s">
        <v>53</v>
      </c>
      <c r="N16" s="1" t="s">
        <v>54</v>
      </c>
    </row>
    <row r="17" spans="1:14" ht="15" x14ac:dyDescent="0.3">
      <c r="A17" s="1" t="s">
        <v>45</v>
      </c>
      <c r="B17" s="1">
        <v>1242.4000000000001</v>
      </c>
      <c r="C17" s="1">
        <v>226</v>
      </c>
      <c r="D17" s="1">
        <v>198</v>
      </c>
      <c r="E17" s="1">
        <v>2563</v>
      </c>
      <c r="F17" s="1">
        <v>655.29999999999995</v>
      </c>
      <c r="G17" s="1"/>
      <c r="H17" s="1">
        <v>0.18959255302914699</v>
      </c>
      <c r="I17" s="1">
        <v>0.34488020753853199</v>
      </c>
      <c r="J17" s="1">
        <v>0.30215168625057226</v>
      </c>
      <c r="K17" s="1">
        <v>3.9111857164657411</v>
      </c>
      <c r="M17" s="1">
        <f>SUMPRODUCT($H$15:$K$15,H17:K17)</f>
        <v>0.59902011622266693</v>
      </c>
      <c r="N17" s="1">
        <v>2</v>
      </c>
    </row>
    <row r="18" spans="1:14" ht="15" x14ac:dyDescent="0.3">
      <c r="A18" s="1" t="s">
        <v>46</v>
      </c>
      <c r="B18" s="1">
        <v>1042.0999999999999</v>
      </c>
      <c r="C18" s="1">
        <v>51</v>
      </c>
      <c r="D18" s="1">
        <v>155.26</v>
      </c>
      <c r="E18" s="1">
        <v>3780</v>
      </c>
      <c r="F18" s="1">
        <v>190.9</v>
      </c>
      <c r="G18" s="1"/>
      <c r="H18" s="1">
        <v>0.54588789942378202</v>
      </c>
      <c r="I18" s="1">
        <v>0.26715557883708746</v>
      </c>
      <c r="J18" s="1">
        <v>0.81330539549502345</v>
      </c>
      <c r="K18" s="1">
        <v>19.800942902042955</v>
      </c>
      <c r="M18" s="1">
        <f t="shared" ref="M18:M22" si="0">SUMPRODUCT($H$15:$K$15,H18:K18)</f>
        <v>2.2586678441603243</v>
      </c>
      <c r="N18" s="1">
        <v>1</v>
      </c>
    </row>
    <row r="19" spans="1:14" ht="15" x14ac:dyDescent="0.3">
      <c r="A19" s="1" t="s">
        <v>47</v>
      </c>
      <c r="B19" s="1">
        <v>70</v>
      </c>
      <c r="C19" s="1">
        <v>79</v>
      </c>
      <c r="D19" s="1">
        <v>67.849999999999994</v>
      </c>
      <c r="E19" s="1">
        <v>817</v>
      </c>
      <c r="F19" s="1">
        <v>329.3</v>
      </c>
      <c r="G19" s="1"/>
      <c r="H19" s="1">
        <v>2.1257212268448223E-2</v>
      </c>
      <c r="I19" s="1">
        <v>0.23990282417248709</v>
      </c>
      <c r="J19" s="1">
        <v>0.20604312177345882</v>
      </c>
      <c r="K19" s="1">
        <v>2.4810203461888856</v>
      </c>
      <c r="M19" s="1">
        <f t="shared" si="0"/>
        <v>0.36526062177375374</v>
      </c>
      <c r="N19" s="1">
        <v>4</v>
      </c>
    </row>
    <row r="20" spans="1:14" ht="15" x14ac:dyDescent="0.3">
      <c r="A20" s="1" t="s">
        <v>48</v>
      </c>
      <c r="B20" s="1">
        <v>194.1</v>
      </c>
      <c r="C20" s="1">
        <v>163</v>
      </c>
      <c r="D20" s="1">
        <v>53.81</v>
      </c>
      <c r="E20" s="1">
        <v>332</v>
      </c>
      <c r="F20" s="1">
        <v>274.2</v>
      </c>
      <c r="G20" s="1"/>
      <c r="H20" s="1">
        <v>7.0787746170678345E-2</v>
      </c>
      <c r="I20" s="1">
        <v>0.5944566010211525</v>
      </c>
      <c r="J20" s="1">
        <v>0.19624361779722832</v>
      </c>
      <c r="K20" s="1">
        <v>1.2107950401167031</v>
      </c>
      <c r="M20" s="1">
        <f t="shared" si="0"/>
        <v>0.35604459431241542</v>
      </c>
      <c r="N20" s="1">
        <v>5</v>
      </c>
    </row>
    <row r="21" spans="1:14" ht="15" x14ac:dyDescent="0.3">
      <c r="A21" s="1" t="s">
        <v>49</v>
      </c>
      <c r="B21" s="1">
        <v>142.30000000000001</v>
      </c>
      <c r="C21" s="1">
        <v>242</v>
      </c>
      <c r="D21" s="1">
        <v>235.55</v>
      </c>
      <c r="E21" s="1">
        <v>2201</v>
      </c>
      <c r="F21" s="1">
        <v>693.2</v>
      </c>
      <c r="G21" s="1"/>
      <c r="H21" s="1">
        <v>2.0527986151182918E-2</v>
      </c>
      <c r="I21" s="1">
        <v>0.34910559723023654</v>
      </c>
      <c r="J21" s="1">
        <v>0.33980092325447203</v>
      </c>
      <c r="K21" s="1">
        <v>3.1751298326601267</v>
      </c>
      <c r="M21" s="1">
        <f t="shared" si="0"/>
        <v>0.50641395875643713</v>
      </c>
      <c r="N21" s="1">
        <v>3</v>
      </c>
    </row>
    <row r="22" spans="1:14" ht="15" x14ac:dyDescent="0.3">
      <c r="A22" s="1" t="s">
        <v>50</v>
      </c>
      <c r="B22" s="1">
        <v>96.6</v>
      </c>
      <c r="C22" s="1">
        <v>172</v>
      </c>
      <c r="D22" s="1">
        <v>101.84</v>
      </c>
      <c r="E22" s="1">
        <v>817</v>
      </c>
      <c r="F22" s="1">
        <v>482.5</v>
      </c>
      <c r="G22" s="1"/>
      <c r="H22" s="1">
        <v>2.0020725388601036E-2</v>
      </c>
      <c r="I22" s="1">
        <v>0.35647668393782384</v>
      </c>
      <c r="J22" s="1">
        <v>0.21106735751295339</v>
      </c>
      <c r="K22" s="1">
        <v>1.6932642487046632</v>
      </c>
      <c r="M22" s="1">
        <f t="shared" si="0"/>
        <v>0.32856033875113799</v>
      </c>
      <c r="N22" s="1">
        <v>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2024-12-19T06:15:18Z</dcterms:created>
  <dcterms:modified xsi:type="dcterms:W3CDTF">2024-12-19T11:57:17Z</dcterms:modified>
</cp:coreProperties>
</file>